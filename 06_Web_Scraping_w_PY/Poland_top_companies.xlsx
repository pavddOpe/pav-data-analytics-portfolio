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tics\Beginner courses Data Bootcamp\Python\Analyst\"/>
    </mc:Choice>
  </mc:AlternateContent>
  <xr:revisionPtr revIDLastSave="0" documentId="13_ncr:1_{1D99A674-96E8-40D4-B0D4-2E8DEFA1FF2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3" r:id="rId1"/>
    <sheet name="Top 20 Poland Companies" sheetId="1" r:id="rId2"/>
  </sheets>
  <calcPr calcId="191029"/>
  <pivotCaches>
    <pivotCache cacheId="3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<sst xmlns="http://schemas.openxmlformats.org/spreadsheetml/2006/main" count="113" uniqueCount="72">
  <si>
    <t>Rank</t>
  </si>
  <si>
    <t>Name</t>
  </si>
  <si>
    <t>Headquarters</t>
  </si>
  <si>
    <t>Revenue (EUR millions)</t>
  </si>
  <si>
    <t>Profit (EUR millions)</t>
  </si>
  <si>
    <t>Employees</t>
  </si>
  <si>
    <t>Industry</t>
  </si>
  <si>
    <t>Majority/Plurality ownership</t>
  </si>
  <si>
    <t>Orlen</t>
  </si>
  <si>
    <t>Płock</t>
  </si>
  <si>
    <t>Petroleum industry</t>
  </si>
  <si>
    <t>State Treasury of Poland</t>
  </si>
  <si>
    <t>Totalizator Sportowy</t>
  </si>
  <si>
    <t>Warsaw</t>
  </si>
  <si>
    <t>Gambling</t>
  </si>
  <si>
    <t>PGE</t>
  </si>
  <si>
    <t>Electricity</t>
  </si>
  <si>
    <t>KGHM</t>
  </si>
  <si>
    <t>Lubin</t>
  </si>
  <si>
    <t>Metals, Mining, Metallurgy</t>
  </si>
  <si>
    <t>Enea</t>
  </si>
  <si>
    <t>Poznań</t>
  </si>
  <si>
    <t>Tauron</t>
  </si>
  <si>
    <t>Katowice</t>
  </si>
  <si>
    <t>Dino</t>
  </si>
  <si>
    <t>Krotoszyn</t>
  </si>
  <si>
    <t>Retail</t>
  </si>
  <si>
    <t>Tomasz Biernacki</t>
  </si>
  <si>
    <t>PSE</t>
  </si>
  <si>
    <t>LPP</t>
  </si>
  <si>
    <t>Gdańsk</t>
  </si>
  <si>
    <t>Textile, Footwear</t>
  </si>
  <si>
    <t>Marek Piechocki</t>
  </si>
  <si>
    <t>Inter Cars</t>
  </si>
  <si>
    <t>Automotive industry</t>
  </si>
  <si>
    <t>Andrzej Oliszewski</t>
  </si>
  <si>
    <t>Pelion</t>
  </si>
  <si>
    <t>Łódź</t>
  </si>
  <si>
    <t>Healthcare</t>
  </si>
  <si>
    <t>Jacek Szwajcowski</t>
  </si>
  <si>
    <t>Asseco</t>
  </si>
  <si>
    <t>Rzeszów</t>
  </si>
  <si>
    <t>Information technology</t>
  </si>
  <si>
    <t>Adam Góral</t>
  </si>
  <si>
    <t>Maspex</t>
  </si>
  <si>
    <t>Wadowice</t>
  </si>
  <si>
    <t>Food</t>
  </si>
  <si>
    <t>Krzysztof Pawiński</t>
  </si>
  <si>
    <t>AB</t>
  </si>
  <si>
    <t>Magnice</t>
  </si>
  <si>
    <t>Electronics</t>
  </si>
  <si>
    <t>Andrzej Przybyło</t>
  </si>
  <si>
    <t>Cyfrowy Polsat</t>
  </si>
  <si>
    <t>Telecommunication</t>
  </si>
  <si>
    <t>Zygmunt Solorz</t>
  </si>
  <si>
    <t>Unimot</t>
  </si>
  <si>
    <t>Zawadzkie</t>
  </si>
  <si>
    <t>Adam Sikorskiand his family</t>
  </si>
  <si>
    <t>PGZ</t>
  </si>
  <si>
    <t>Radom</t>
  </si>
  <si>
    <t>Arms</t>
  </si>
  <si>
    <t>Anwim</t>
  </si>
  <si>
    <t>Pension FundofPoland</t>
  </si>
  <si>
    <t>Grupa Azoty</t>
  </si>
  <si>
    <t>Tarnów</t>
  </si>
  <si>
    <t>Chemicals</t>
  </si>
  <si>
    <t>PKP</t>
  </si>
  <si>
    <t>Rail transport</t>
  </si>
  <si>
    <t>Row Labels</t>
  </si>
  <si>
    <t>Grand Total</t>
  </si>
  <si>
    <t>Column Labels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</si>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</sst>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theme="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2" xfId="0" applyFont="1" applyFill="1" applyBorder="1"/>
    <xf numFmtId="0" fontId="0" fillId="3" borderId="1" xfId="0" applyFont="1" applyFill="1" applyBorder="1"/>
    <xf numFmtId="0" fontId="0" fillId="3" borderId="5" xfId="0" applyFont="1" applyFill="1" applyBorder="1"/>
    <xf numFmtId="0" fontId="0" fillId="4" borderId="6" xfId="0" applyFont="1" applyFill="1" applyBorder="1"/>
    <xf numFmtId="0" fontId="0" fillId="3" borderId="6" xfId="0" applyFont="1" applyFill="1" applyBorder="1"/>
    <xf numFmtId="0" fontId="0" fillId="3" borderId="2" xfId="0" applyFont="1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2" fontId="0" fillId="3" borderId="5" xfId="0" applyNumberFormat="1" applyFont="1" applyFill="1" applyBorder="1"/>
    <xf numFmtId="2" fontId="0" fillId="4" borderId="2" xfId="0" applyNumberFormat="1" applyFont="1" applyFill="1" applyBorder="1"/>
    <xf numFmtId="2" fontId="0" fillId="3" borderId="2" xfId="0" applyNumberFormat="1" applyFont="1" applyFill="1" applyBorder="1"/>
    <xf numFmtId="0" fontId="0" fillId="3" borderId="5" xfId="0" applyNumberFormat="1" applyFont="1" applyFill="1" applyBorder="1"/>
    <xf numFmtId="0" fontId="0" fillId="4" borderId="2" xfId="0" applyNumberFormat="1" applyFont="1" applyFill="1" applyBorder="1"/>
    <xf numFmtId="0" fontId="0" fillId="3" borderId="2" xfId="0" applyNumberFormat="1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[Poland_top_companies.xlsx]Sheet2!PivotTable30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Sheet2!$B$5:$B$25</c:f>
              <c:numCache>
                <c:formatCode>General</c:formatCode>
                <c:ptCount val="20"/>
                <c:pt idx="13">
                  <c:v>3.4289999999999998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5-42F8-81CF-33B41563C96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Anwim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Sheet2!$C$5:$C$25</c:f>
              <c:numCache>
                <c:formatCode>General</c:formatCode>
                <c:ptCount val="20"/>
                <c:pt idx="17">
                  <c:v>3.1909999999999998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07D5-42F8-81CF-33B41563C96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Asseco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Sheet2!$D$5:$D$25</c:f>
              <c:numCache>
                <c:formatCode>General</c:formatCode>
                <c:ptCount val="20"/>
                <c:pt idx="11">
                  <c:v>4.0069999999999997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07D5-42F8-81CF-33B41563C96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Cyfrowy Polsat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Sheet2!$E$5:$E$25</c:f>
              <c:numCache>
                <c:formatCode>General</c:formatCode>
                <c:ptCount val="20"/>
                <c:pt idx="14">
                  <c:v>3.3370000000000002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07D5-42F8-81CF-33B41563C96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Dino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Sheet2!$F$5:$F$25</c:f>
              <c:numCache>
                <c:formatCode>General</c:formatCode>
                <c:ptCount val="20"/>
                <c:pt idx="6">
                  <c:v>6.8479999999999999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07D5-42F8-81CF-33B41563C961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Enea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Sheet2!$G$5:$G$25</c:f>
              <c:numCache>
                <c:formatCode>General</c:formatCode>
                <c:ptCount val="20"/>
                <c:pt idx="4">
                  <c:v>7.7130000000000001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07D5-42F8-81CF-33B41563C961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Grupa Azoty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Sheet2!$H$5:$H$25</c:f>
              <c:numCache>
                <c:formatCode>General</c:formatCode>
                <c:ptCount val="20"/>
                <c:pt idx="18">
                  <c:v>3.0510000000000002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07D5-42F8-81CF-33B41563C961}"/>
            </c:ext>
          </c:extLst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Inter Cars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Sheet2!$I$5:$I$25</c:f>
              <c:numCache>
                <c:formatCode>General</c:formatCode>
                <c:ptCount val="20"/>
                <c:pt idx="9">
                  <c:v>4.5549999999999997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07D5-42F8-81CF-33B41563C961}"/>
            </c:ext>
          </c:extLst>
        </c:ser>
        <c:ser>
          <c:idx val="8"/>
          <c:order val="8"/>
          <c:tx>
            <c:strRef>
              <c:f>Sheet2!$J$3:$J$4</c:f>
              <c:strCache>
                <c:ptCount val="1"/>
                <c:pt idx="0">
                  <c:v>KGHM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Sheet2!$J$5:$J$25</c:f>
              <c:numCache>
                <c:formatCode>General</c:formatCode>
                <c:ptCount val="20"/>
                <c:pt idx="3">
                  <c:v>8.2620000000000005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07D5-42F8-81CF-33B41563C961}"/>
            </c:ext>
          </c:extLst>
        </c:ser>
        <c:ser>
          <c:idx val="9"/>
          <c:order val="9"/>
          <c:tx>
            <c:strRef>
              <c:f>Sheet2!$K$3:$K$4</c:f>
              <c:strCache>
                <c:ptCount val="1"/>
                <c:pt idx="0">
                  <c:v>LPP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Sheet2!$K$5:$K$25</c:f>
              <c:numCache>
                <c:formatCode>General</c:formatCode>
                <c:ptCount val="20"/>
                <c:pt idx="8">
                  <c:v>4.7240000000000002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07D5-42F8-81CF-33B41563C961}"/>
            </c:ext>
          </c:extLst>
        </c:ser>
        <c:ser>
          <c:idx val="10"/>
          <c:order val="10"/>
          <c:tx>
            <c:strRef>
              <c:f>Sheet2!$L$3:$L$4</c:f>
              <c:strCache>
                <c:ptCount val="1"/>
                <c:pt idx="0">
                  <c:v>Maspex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Sheet2!$L$5:$L$25</c:f>
              <c:numCache>
                <c:formatCode>General</c:formatCode>
                <c:ptCount val="20"/>
                <c:pt idx="12">
                  <c:v>3.5609999999999999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07D5-42F8-81CF-33B41563C961}"/>
            </c:ext>
          </c:extLst>
        </c:ser>
        <c:ser>
          <c:idx val="11"/>
          <c:order val="11"/>
          <c:tx>
            <c:strRef>
              <c:f>Sheet2!$M$3:$M$4</c:f>
              <c:strCache>
                <c:ptCount val="1"/>
                <c:pt idx="0">
                  <c:v>Orlen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Sheet2!$M$5:$M$25</c:f>
              <c:numCache>
                <c:formatCode>General</c:formatCode>
                <c:ptCount val="20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07D5-42F8-81CF-33B41563C961}"/>
            </c:ext>
          </c:extLst>
        </c:ser>
        <c:ser>
          <c:idx val="12"/>
          <c:order val="12"/>
          <c:tx>
            <c:strRef>
              <c:f>Sheet2!$N$3:$N$4</c:f>
              <c:strCache>
                <c:ptCount val="1"/>
                <c:pt idx="0">
                  <c:v>Pelion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Sheet2!$N$5:$N$25</c:f>
              <c:numCache>
                <c:formatCode>General</c:formatCode>
                <c:ptCount val="20"/>
                <c:pt idx="10">
                  <c:v>4.306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07D5-42F8-81CF-33B41563C961}"/>
            </c:ext>
          </c:extLst>
        </c:ser>
        <c:ser>
          <c:idx val="13"/>
          <c:order val="13"/>
          <c:tx>
            <c:strRef>
              <c:f>Sheet2!$O$3:$O$4</c:f>
              <c:strCache>
                <c:ptCount val="1"/>
                <c:pt idx="0">
                  <c:v>PGE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Sheet2!$O$5:$O$25</c:f>
              <c:numCache>
                <c:formatCode>General</c:formatCode>
                <c:ptCount val="20"/>
                <c:pt idx="2">
                  <c:v>15.084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07D5-42F8-81CF-33B41563C961}"/>
            </c:ext>
          </c:extLst>
        </c:ser>
        <c:ser>
          <c:idx val="14"/>
          <c:order val="14"/>
          <c:tx>
            <c:strRef>
              <c:f>Sheet2!$P$3:$P$4</c:f>
              <c:strCache>
                <c:ptCount val="1"/>
                <c:pt idx="0">
                  <c:v>PGZ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Sheet2!$P$5:$P$25</c:f>
              <c:numCache>
                <c:formatCode>General</c:formatCode>
                <c:ptCount val="20"/>
                <c:pt idx="16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07D5-42F8-81CF-33B41563C961}"/>
            </c:ext>
          </c:extLst>
        </c:ser>
        <c:ser>
          <c:idx val="15"/>
          <c:order val="15"/>
          <c:tx>
            <c:strRef>
              <c:f>Sheet2!$Q$3:$Q$4</c:f>
              <c:strCache>
                <c:ptCount val="1"/>
                <c:pt idx="0">
                  <c:v>PKP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Sheet2!$Q$5:$Q$25</c:f>
              <c:numCache>
                <c:formatCode>General</c:formatCode>
                <c:ptCount val="20"/>
                <c:pt idx="19">
                  <c:v>3.0110000000000001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07D5-42F8-81CF-33B41563C961}"/>
            </c:ext>
          </c:extLst>
        </c:ser>
        <c:ser>
          <c:idx val="16"/>
          <c:order val="16"/>
          <c:tx>
            <c:strRef>
              <c:f>Sheet2!$R$3:$R$4</c:f>
              <c:strCache>
                <c:ptCount val="1"/>
                <c:pt idx="0">
                  <c:v>PSE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Sheet2!$R$5:$R$25</c:f>
              <c:numCache>
                <c:formatCode>General</c:formatCode>
                <c:ptCount val="20"/>
                <c:pt idx="7">
                  <c:v>5.9420000000000002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07D5-42F8-81CF-33B41563C961}"/>
            </c:ext>
          </c:extLst>
        </c:ser>
        <c:ser>
          <c:idx val="17"/>
          <c:order val="17"/>
          <c:tx>
            <c:strRef>
              <c:f>Sheet2!$S$3:$S$4</c:f>
              <c:strCache>
                <c:ptCount val="1"/>
                <c:pt idx="0">
                  <c:v>Tauron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Sheet2!$S$5:$S$25</c:f>
              <c:numCache>
                <c:formatCode>General</c:formatCode>
                <c:ptCount val="20"/>
                <c:pt idx="5">
                  <c:v>7.6109999999999998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07D5-42F8-81CF-33B41563C961}"/>
            </c:ext>
          </c:extLst>
        </c:ser>
        <c:ser>
          <c:idx val="18"/>
          <c:order val="18"/>
          <c:tx>
            <c:strRef>
              <c:f>Sheet2!$T$3:$T$4</c:f>
              <c:strCache>
                <c:ptCount val="1"/>
                <c:pt idx="0">
                  <c:v>Totalizator Sportowy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Sheet2!$T$5:$T$25</c:f>
              <c:numCache>
                <c:formatCode>General</c:formatCode>
                <c:ptCount val="20"/>
                <c:pt idx="1">
                  <c:v>16.145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07D5-42F8-81CF-33B41563C961}"/>
            </c:ext>
          </c:extLst>
        </c:ser>
        <c:ser>
          <c:idx val="19"/>
          <c:order val="19"/>
          <c:tx>
            <c:strRef>
              <c:f>Sheet2!$U$3:$U$4</c:f>
              <c:strCache>
                <c:ptCount val="1"/>
                <c:pt idx="0">
                  <c:v>Unimot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Sheet2!$U$5:$U$25</c:f>
              <c:numCache>
                <c:formatCode>General</c:formatCode>
                <c:ptCount val="20"/>
                <c:pt idx="15">
                  <c:v>3.2949999999999999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07D5-42F8-81CF-33B41563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115120"/>
        <c:axId val="2023120528"/>
      </c:barChart>
      <c:catAx>
        <c:axId val="202311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120528"/>
        <c:crosses val="autoZero"/>
        <c:auto val="1"/>
        <c:lblAlgn val="ctr"/>
        <c:lblOffset val="100"/>
        <c:noMultiLvlLbl val="0"/>
      </c:catAx>
      <c:valAx>
        <c:axId val="20231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11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[Poland_top_companies.xlsx]Sheet2!PivotTable30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Companies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/>
                </a:gs>
                <a:gs pos="46000">
                  <a:schemeClr val="accent4"/>
                </a:gs>
                <a:gs pos="100000">
                  <a:schemeClr val="accent4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/>
                </a:gs>
                <a:gs pos="46000">
                  <a:schemeClr val="accent6"/>
                </a:gs>
                <a:gs pos="100000">
                  <a:schemeClr val="accent6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lumMod val="60000"/>
                  </a:schemeClr>
                </a:gs>
                <a:gs pos="46000">
                  <a:schemeClr val="accent1">
                    <a:lumMod val="60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60000"/>
                  </a:schemeClr>
                </a:gs>
                <a:gs pos="46000">
                  <a:schemeClr val="accent2">
                    <a:lumMod val="60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>
                    <a:lumMod val="60000"/>
                  </a:schemeClr>
                </a:gs>
                <a:gs pos="46000">
                  <a:schemeClr val="accent3">
                    <a:lumMod val="60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60000"/>
                  </a:schemeClr>
                </a:gs>
                <a:gs pos="46000">
                  <a:schemeClr val="accent4">
                    <a:lumMod val="60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60000"/>
                  </a:schemeClr>
                </a:gs>
                <a:gs pos="46000">
                  <a:schemeClr val="accent5">
                    <a:lumMod val="60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60000"/>
                  </a:schemeClr>
                </a:gs>
                <a:gs pos="46000">
                  <a:schemeClr val="accent6">
                    <a:lumMod val="60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lumMod val="80000"/>
                    <a:lumOff val="20000"/>
                  </a:schemeClr>
                </a:gs>
                <a:gs pos="46000">
                  <a:schemeClr val="accent1">
                    <a:lumMod val="80000"/>
                    <a:lumOff val="20000"/>
                  </a:schemeClr>
                </a:gs>
                <a:gs pos="100000">
                  <a:schemeClr val="accent1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80000"/>
                    <a:lumOff val="20000"/>
                  </a:schemeClr>
                </a:gs>
                <a:gs pos="46000">
                  <a:schemeClr val="accent2">
                    <a:lumMod val="80000"/>
                    <a:lumOff val="20000"/>
                  </a:schemeClr>
                </a:gs>
                <a:gs pos="100000">
                  <a:schemeClr val="accent2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>
                    <a:lumMod val="80000"/>
                    <a:lumOff val="20000"/>
                  </a:schemeClr>
                </a:gs>
                <a:gs pos="46000">
                  <a:schemeClr val="accent3">
                    <a:lumMod val="80000"/>
                    <a:lumOff val="20000"/>
                  </a:schemeClr>
                </a:gs>
                <a:gs pos="100000">
                  <a:schemeClr val="accent3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>
                    <a:lumMod val="80000"/>
                    <a:lumOff val="20000"/>
                  </a:schemeClr>
                </a:gs>
                <a:gs pos="46000">
                  <a:schemeClr val="accent4">
                    <a:lumMod val="80000"/>
                    <a:lumOff val="20000"/>
                  </a:schemeClr>
                </a:gs>
                <a:gs pos="100000">
                  <a:schemeClr val="accent4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>
                    <a:lumMod val="80000"/>
                    <a:lumOff val="20000"/>
                  </a:schemeClr>
                </a:gs>
                <a:gs pos="46000">
                  <a:schemeClr val="accent5">
                    <a:lumMod val="80000"/>
                    <a:lumOff val="20000"/>
                  </a:schemeClr>
                </a:gs>
                <a:gs pos="100000">
                  <a:schemeClr val="accent5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6">
                    <a:lumMod val="80000"/>
                    <a:lumOff val="20000"/>
                  </a:schemeClr>
                </a:gs>
                <a:gs pos="46000">
                  <a:schemeClr val="accent6">
                    <a:lumMod val="80000"/>
                    <a:lumOff val="20000"/>
                  </a:schemeClr>
                </a:gs>
                <a:gs pos="100000">
                  <a:schemeClr val="accent6">
                    <a:lumMod val="80000"/>
                    <a:lumOff val="2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lumMod val="80000"/>
                  </a:schemeClr>
                </a:gs>
                <a:gs pos="46000">
                  <a:schemeClr val="accent1">
                    <a:lumMod val="80000"/>
                  </a:schemeClr>
                </a:gs>
                <a:gs pos="100000">
                  <a:schemeClr val="accent1">
                    <a:lumMod val="8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>
                    <a:lumMod val="80000"/>
                  </a:schemeClr>
                </a:gs>
                <a:gs pos="46000">
                  <a:schemeClr val="accent2">
                    <a:lumMod val="80000"/>
                  </a:schemeClr>
                </a:gs>
                <a:gs pos="100000">
                  <a:schemeClr val="accent2">
                    <a:lumMod val="800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Sheet2!$B$5:$B$25</c:f>
              <c:numCache>
                <c:formatCode>General</c:formatCode>
                <c:ptCount val="20"/>
                <c:pt idx="13">
                  <c:v>3.4289999999999998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6-43BE-AFEF-7F97D2056D9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Anwim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Sheet2!$C$5:$C$25</c:f>
              <c:numCache>
                <c:formatCode>General</c:formatCode>
                <c:ptCount val="20"/>
                <c:pt idx="17">
                  <c:v>3.1909999999999998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636-43BE-AFEF-7F97D2056D9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Asseco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Sheet2!$D$5:$D$25</c:f>
              <c:numCache>
                <c:formatCode>General</c:formatCode>
                <c:ptCount val="20"/>
                <c:pt idx="11">
                  <c:v>4.0069999999999997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36-43BE-AFEF-7F97D2056D9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Cyfrowy Polsat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Sheet2!$E$5:$E$25</c:f>
              <c:numCache>
                <c:formatCode>General</c:formatCode>
                <c:ptCount val="20"/>
                <c:pt idx="14">
                  <c:v>3.3370000000000002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36-43BE-AFEF-7F97D2056D9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Dino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Sheet2!$F$5:$F$25</c:f>
              <c:numCache>
                <c:formatCode>General</c:formatCode>
                <c:ptCount val="20"/>
                <c:pt idx="6">
                  <c:v>6.8479999999999999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36-43BE-AFEF-7F97D2056D91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Enea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Sheet2!$G$5:$G$25</c:f>
              <c:numCache>
                <c:formatCode>General</c:formatCode>
                <c:ptCount val="20"/>
                <c:pt idx="4">
                  <c:v>7.7130000000000001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636-43BE-AFEF-7F97D2056D91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Grupa Azoty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Sheet2!$H$5:$H$25</c:f>
              <c:numCache>
                <c:formatCode>General</c:formatCode>
                <c:ptCount val="20"/>
                <c:pt idx="18">
                  <c:v>3.0510000000000002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636-43BE-AFEF-7F97D2056D91}"/>
            </c:ext>
          </c:extLst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Inter Cars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Sheet2!$I$5:$I$25</c:f>
              <c:numCache>
                <c:formatCode>General</c:formatCode>
                <c:ptCount val="20"/>
                <c:pt idx="9">
                  <c:v>4.5549999999999997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636-43BE-AFEF-7F97D2056D91}"/>
            </c:ext>
          </c:extLst>
        </c:ser>
        <c:ser>
          <c:idx val="8"/>
          <c:order val="8"/>
          <c:tx>
            <c:strRef>
              <c:f>Sheet2!$J$3:$J$4</c:f>
              <c:strCache>
                <c:ptCount val="1"/>
                <c:pt idx="0">
                  <c:v>KGHM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Sheet2!$J$5:$J$25</c:f>
              <c:numCache>
                <c:formatCode>General</c:formatCode>
                <c:ptCount val="20"/>
                <c:pt idx="3">
                  <c:v>8.2620000000000005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636-43BE-AFEF-7F97D2056D91}"/>
            </c:ext>
          </c:extLst>
        </c:ser>
        <c:ser>
          <c:idx val="9"/>
          <c:order val="9"/>
          <c:tx>
            <c:strRef>
              <c:f>Sheet2!$K$3:$K$4</c:f>
              <c:strCache>
                <c:ptCount val="1"/>
                <c:pt idx="0">
                  <c:v>LPP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Sheet2!$K$5:$K$25</c:f>
              <c:numCache>
                <c:formatCode>General</c:formatCode>
                <c:ptCount val="20"/>
                <c:pt idx="8">
                  <c:v>4.7240000000000002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636-43BE-AFEF-7F97D2056D91}"/>
            </c:ext>
          </c:extLst>
        </c:ser>
        <c:ser>
          <c:idx val="10"/>
          <c:order val="10"/>
          <c:tx>
            <c:strRef>
              <c:f>Sheet2!$L$3:$L$4</c:f>
              <c:strCache>
                <c:ptCount val="1"/>
                <c:pt idx="0">
                  <c:v>Maspex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Sheet2!$L$5:$L$25</c:f>
              <c:numCache>
                <c:formatCode>General</c:formatCode>
                <c:ptCount val="20"/>
                <c:pt idx="12">
                  <c:v>3.5609999999999999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636-43BE-AFEF-7F97D2056D91}"/>
            </c:ext>
          </c:extLst>
        </c:ser>
        <c:ser>
          <c:idx val="11"/>
          <c:order val="11"/>
          <c:tx>
            <c:strRef>
              <c:f>Sheet2!$M$3:$M$4</c:f>
              <c:strCache>
                <c:ptCount val="1"/>
                <c:pt idx="0">
                  <c:v>Orlen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Sheet2!$M$5:$M$25</c:f>
              <c:numCache>
                <c:formatCode>General</c:formatCode>
                <c:ptCount val="20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636-43BE-AFEF-7F97D2056D91}"/>
            </c:ext>
          </c:extLst>
        </c:ser>
        <c:ser>
          <c:idx val="12"/>
          <c:order val="12"/>
          <c:tx>
            <c:strRef>
              <c:f>Sheet2!$N$3:$N$4</c:f>
              <c:strCache>
                <c:ptCount val="1"/>
                <c:pt idx="0">
                  <c:v>Pelion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Sheet2!$N$5:$N$25</c:f>
              <c:numCache>
                <c:formatCode>General</c:formatCode>
                <c:ptCount val="20"/>
                <c:pt idx="10">
                  <c:v>4.306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636-43BE-AFEF-7F97D2056D91}"/>
            </c:ext>
          </c:extLst>
        </c:ser>
        <c:ser>
          <c:idx val="13"/>
          <c:order val="13"/>
          <c:tx>
            <c:strRef>
              <c:f>Sheet2!$O$3:$O$4</c:f>
              <c:strCache>
                <c:ptCount val="1"/>
                <c:pt idx="0">
                  <c:v>PGE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Sheet2!$O$5:$O$25</c:f>
              <c:numCache>
                <c:formatCode>General</c:formatCode>
                <c:ptCount val="20"/>
                <c:pt idx="2">
                  <c:v>15.084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636-43BE-AFEF-7F97D2056D91}"/>
            </c:ext>
          </c:extLst>
        </c:ser>
        <c:ser>
          <c:idx val="14"/>
          <c:order val="14"/>
          <c:tx>
            <c:strRef>
              <c:f>Sheet2!$P$3:$P$4</c:f>
              <c:strCache>
                <c:ptCount val="1"/>
                <c:pt idx="0">
                  <c:v>PGZ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Sheet2!$P$5:$P$25</c:f>
              <c:numCache>
                <c:formatCode>General</c:formatCode>
                <c:ptCount val="20"/>
                <c:pt idx="16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636-43BE-AFEF-7F97D2056D91}"/>
            </c:ext>
          </c:extLst>
        </c:ser>
        <c:ser>
          <c:idx val="15"/>
          <c:order val="15"/>
          <c:tx>
            <c:strRef>
              <c:f>Sheet2!$Q$3:$Q$4</c:f>
              <c:strCache>
                <c:ptCount val="1"/>
                <c:pt idx="0">
                  <c:v>PKP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Sheet2!$Q$5:$Q$25</c:f>
              <c:numCache>
                <c:formatCode>General</c:formatCode>
                <c:ptCount val="20"/>
                <c:pt idx="19">
                  <c:v>3.0110000000000001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636-43BE-AFEF-7F97D2056D91}"/>
            </c:ext>
          </c:extLst>
        </c:ser>
        <c:ser>
          <c:idx val="16"/>
          <c:order val="16"/>
          <c:tx>
            <c:strRef>
              <c:f>Sheet2!$R$3:$R$4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Sheet2!$R$5:$R$25</c:f>
              <c:numCache>
                <c:formatCode>General</c:formatCode>
                <c:ptCount val="20"/>
                <c:pt idx="7">
                  <c:v>5.9420000000000002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636-43BE-AFEF-7F97D2056D91}"/>
            </c:ext>
          </c:extLst>
        </c:ser>
        <c:ser>
          <c:idx val="17"/>
          <c:order val="17"/>
          <c:tx>
            <c:strRef>
              <c:f>Sheet2!$S$3:$S$4</c:f>
              <c:strCache>
                <c:ptCount val="1"/>
                <c:pt idx="0">
                  <c:v>Tauron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Sheet2!$S$5:$S$25</c:f>
              <c:numCache>
                <c:formatCode>General</c:formatCode>
                <c:ptCount val="20"/>
                <c:pt idx="5">
                  <c:v>7.6109999999999998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636-43BE-AFEF-7F97D2056D91}"/>
            </c:ext>
          </c:extLst>
        </c:ser>
        <c:ser>
          <c:idx val="18"/>
          <c:order val="18"/>
          <c:tx>
            <c:strRef>
              <c:f>Sheet2!$T$3:$T$4</c:f>
              <c:strCache>
                <c:ptCount val="1"/>
                <c:pt idx="0">
                  <c:v>Totalizator Sportowy</c:v>
                </c:pt>
              </c:strCache>
            </c:strRef>
          </c:tx>
          <c:spPr>
            <a:solidFill>
              <a:schemeClr val="accent1">
                <a:lumMod val="8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Sheet2!$T$5:$T$25</c:f>
              <c:numCache>
                <c:formatCode>General</c:formatCode>
                <c:ptCount val="20"/>
                <c:pt idx="1">
                  <c:v>16.145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636-43BE-AFEF-7F97D2056D91}"/>
            </c:ext>
          </c:extLst>
        </c:ser>
        <c:ser>
          <c:idx val="19"/>
          <c:order val="19"/>
          <c:tx>
            <c:strRef>
              <c:f>Sheet2!$U$3:$U$4</c:f>
              <c:strCache>
                <c:ptCount val="1"/>
                <c:pt idx="0">
                  <c:v>Unimot</c:v>
                </c:pt>
              </c:strCache>
            </c:strRef>
          </c:tx>
          <c:spPr>
            <a:solidFill>
              <a:schemeClr val="accent2">
                <a:lumMod val="8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Sheet2!$U$5:$U$25</c:f>
              <c:numCache>
                <c:formatCode>General</c:formatCode>
                <c:ptCount val="20"/>
                <c:pt idx="15">
                  <c:v>3.2949999999999999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636-43BE-AFEF-7F97D2056D9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3115120"/>
        <c:axId val="2023120528"/>
      </c:barChart>
      <c:catAx>
        <c:axId val="202311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Companies Ranks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120528"/>
        <c:crosses val="autoZero"/>
        <c:auto val="1"/>
        <c:lblAlgn val="ctr"/>
        <c:lblOffset val="100"/>
        <c:noMultiLvlLbl val="0"/>
      </c:catAx>
      <c:valAx>
        <c:axId val="2023120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 in EUR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23115120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0">
              <a:schemeClr val="accent5">
                <a:lumMod val="32000"/>
                <a:lumOff val="68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tx2">
              <a:lumMod val="40000"/>
              <a:lumOff val="6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4</xdr:row>
      <xdr:rowOff>163830</xdr:rowOff>
    </xdr:from>
    <xdr:to>
      <xdr:col>14</xdr:col>
      <xdr:colOff>76200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E3070-2D0B-4F2C-AA17-A0DD731AA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332014</xdr:colOff>
      <xdr:row>21</xdr:row>
      <xdr:rowOff>89263</xdr:rowOff>
    </xdr:from>
    <xdr:to>
      <xdr:col>7</xdr:col>
      <xdr:colOff>1578428</xdr:colOff>
      <xdr:row>45</xdr:row>
      <xdr:rowOff>141515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1ADDFD-4490-4BBF-8ED5-ECB23AB50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lo Denysiuk 0020" refreshedDate="46056.520009837965" createdVersion="7" refreshedVersion="7" minRefreshableVersion="3" recordCount="20" xr:uid="{DAE9CA03-3F09-45D3-B87C-4A684ACDB57B}">
  <cacheSource type="worksheet">
    <worksheetSource ref="A1:H21" sheet="Top 20 Poland Companies"/>
  </cacheSource>
  <cacheFields count="8">
    <cacheField name="Rank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Name" numFmtId="0">
      <sharedItems count="20">
        <s v="Orlen"/>
        <s v="Totalizator Sportowy"/>
        <s v="PGE"/>
        <s v="KGHM"/>
        <s v="Enea"/>
        <s v="Tauron"/>
        <s v="Dino"/>
        <s v="PSE"/>
        <s v="LPP"/>
        <s v="Inter Cars"/>
        <s v="Pelion"/>
        <s v="Asseco"/>
        <s v="Maspex"/>
        <s v="AB"/>
        <s v="Cyfrowy Polsat"/>
        <s v="Unimot"/>
        <s v="PGZ"/>
        <s v="Anwim"/>
        <s v="Grupa Azoty"/>
        <s v="PKP"/>
      </sharedItems>
    </cacheField>
    <cacheField name="Headquarters" numFmtId="0">
      <sharedItems/>
    </cacheField>
    <cacheField name="Revenue (EUR millions)" numFmtId="0">
      <sharedItems containsSemiMixedTypes="0" containsString="0" containsNumber="1" minValue="3.0110000000000001" maxValue="69"/>
    </cacheField>
    <cacheField name="Profit (EUR millions)" numFmtId="0">
      <sharedItems containsSemiMixedTypes="0" containsString="0" containsNumber="1" containsInteger="1" minValue="-722" maxValue="671"/>
    </cacheField>
    <cacheField name="Employees" numFmtId="2">
      <sharedItems containsSemiMixedTypes="0" containsString="0" containsNumber="1" minValue="2.968" maxValue="1270"/>
    </cacheField>
    <cacheField name="Industry" numFmtId="0">
      <sharedItems/>
    </cacheField>
    <cacheField name="Majority/Plurality ownershi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Płock"/>
    <n v="69"/>
    <n v="324"/>
    <n v="67.808999999999997"/>
    <s v="Petroleum industry"/>
    <s v="State Treasury of Poland"/>
  </r>
  <r>
    <x v="1"/>
    <x v="1"/>
    <s v="Warsaw"/>
    <n v="16.145"/>
    <n v="112"/>
    <n v="6.8470000000000004"/>
    <s v="Gambling"/>
    <s v="State Treasury of Poland"/>
  </r>
  <r>
    <x v="2"/>
    <x v="2"/>
    <s v="Warsaw"/>
    <n v="15.084"/>
    <n v="-722"/>
    <n v="41.975000000000001"/>
    <s v="Electricity"/>
    <s v="State Treasury of Poland"/>
  </r>
  <r>
    <x v="3"/>
    <x v="3"/>
    <s v="Lubin"/>
    <n v="8.2620000000000005"/>
    <n v="671"/>
    <n v="35.027999999999999"/>
    <s v="Metals, Mining, Metallurgy"/>
    <s v="State Treasury of Poland"/>
  </r>
  <r>
    <x v="4"/>
    <x v="4"/>
    <s v="Poznań"/>
    <n v="7.7130000000000001"/>
    <n v="224"/>
    <n v="18.036999999999999"/>
    <s v="Electricity"/>
    <s v="State Treasury of Poland"/>
  </r>
  <r>
    <x v="5"/>
    <x v="5"/>
    <s v="Katowice"/>
    <n v="7.6109999999999998"/>
    <n v="138"/>
    <n v="18.742000000000001"/>
    <s v="Electricity"/>
    <s v="State Treasury of Poland"/>
  </r>
  <r>
    <x v="6"/>
    <x v="6"/>
    <s v="Krotoszyn"/>
    <n v="6.8479999999999999"/>
    <n v="352"/>
    <n v="49.887"/>
    <s v="Retail"/>
    <s v="Tomasz Biernacki"/>
  </r>
  <r>
    <x v="7"/>
    <x v="7"/>
    <s v="Warsaw"/>
    <n v="5.9420000000000002"/>
    <n v="667"/>
    <n v="2.968"/>
    <s v="Electricity"/>
    <s v="State Treasury of Poland"/>
  </r>
  <r>
    <x v="8"/>
    <x v="8"/>
    <s v="Gdańsk"/>
    <n v="4.7240000000000002"/>
    <n v="409"/>
    <n v="22.821000000000002"/>
    <s v="Textile, Footwear"/>
    <s v="Marek Piechocki"/>
  </r>
  <r>
    <x v="9"/>
    <x v="9"/>
    <s v="Warsaw"/>
    <n v="4.5549999999999997"/>
    <n v="169"/>
    <n v="5.2610000000000001"/>
    <s v="Automotive industry"/>
    <s v="Andrzej Oliszewski"/>
  </r>
  <r>
    <x v="10"/>
    <x v="10"/>
    <s v="Łódź"/>
    <n v="4.306"/>
    <n v="-6"/>
    <n v="12.148999999999999"/>
    <s v="Healthcare"/>
    <s v="Jacek Szwajcowski"/>
  </r>
  <r>
    <x v="11"/>
    <x v="11"/>
    <s v="Rzeszów"/>
    <n v="4.0069999999999997"/>
    <n v="312"/>
    <n v="33.752000000000002"/>
    <s v="Information technology"/>
    <s v="Adam Góral"/>
  </r>
  <r>
    <x v="12"/>
    <x v="12"/>
    <s v="Wadowice"/>
    <n v="3.5609999999999999"/>
    <n v="180"/>
    <n v="10.039"/>
    <s v="Food"/>
    <s v="Krzysztof Pawiński"/>
  </r>
  <r>
    <x v="13"/>
    <x v="13"/>
    <s v="Magnice"/>
    <n v="3.4289999999999998"/>
    <n v="41"/>
    <n v="1270"/>
    <s v="Electronics"/>
    <s v="Andrzej Przybyło"/>
  </r>
  <r>
    <x v="14"/>
    <x v="14"/>
    <s v="Warsaw"/>
    <n v="3.3370000000000002"/>
    <n v="182"/>
    <n v="8.2189999999999994"/>
    <s v="Telecommunication"/>
    <s v="Zygmunt Solorz"/>
  </r>
  <r>
    <x v="15"/>
    <x v="15"/>
    <s v="Zawadzkie"/>
    <n v="3.2949999999999999"/>
    <n v="33"/>
    <n v="929"/>
    <s v="Petroleum industry"/>
    <s v="Adam Sikorskiand his family"/>
  </r>
  <r>
    <x v="16"/>
    <x v="16"/>
    <s v="Radom"/>
    <n v="3.26"/>
    <n v="393"/>
    <n v="20.265999999999998"/>
    <s v="Arms"/>
    <s v="State Treasury of Poland"/>
  </r>
  <r>
    <x v="17"/>
    <x v="17"/>
    <s v="Warsaw"/>
    <n v="3.1909999999999998"/>
    <n v="2"/>
    <n v="576"/>
    <s v="Petroleum industry"/>
    <s v="Pension FundofPoland"/>
  </r>
  <r>
    <x v="18"/>
    <x v="18"/>
    <s v="Tarnów"/>
    <n v="3.0510000000000002"/>
    <n v="-252"/>
    <n v="15.163"/>
    <s v="Chemicals"/>
    <s v="State Treasury of Poland"/>
  </r>
  <r>
    <x v="19"/>
    <x v="19"/>
    <s v="Warsaw"/>
    <n v="3.0110000000000001"/>
    <n v="-60"/>
    <n v="40.947000000000003"/>
    <s v="Rail transport"/>
    <s v="State Treasury of Pol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70C0A-F1F5-461C-8C23-0649354E8C3B}" name="PivotTable30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V25" firstHeaderRow="1" firstDataRow="2" firstDataCol="1"/>
  <pivotFields count="8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pany Name" axis="axisCol" showAll="0">
      <items count="21">
        <item x="13"/>
        <item x="17"/>
        <item x="11"/>
        <item x="14"/>
        <item x="6"/>
        <item x="4"/>
        <item x="18"/>
        <item x="9"/>
        <item x="3"/>
        <item x="8"/>
        <item x="12"/>
        <item x="0"/>
        <item x="10"/>
        <item x="2"/>
        <item x="16"/>
        <item x="19"/>
        <item x="7"/>
        <item x="5"/>
        <item x="1"/>
        <item x="15"/>
        <item t="default"/>
      </items>
    </pivotField>
    <pivotField showAll="0"/>
    <pivotField dataField="1" showAll="0"/>
    <pivotField showAll="0"/>
    <pivotField numFmtId="2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Revenue" fld="3" baseField="0" baseItem="9"/>
  </dataFields>
  <chartFormats count="5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901A-288D-40EC-A53B-3752826A5718}">
  <dimension ref="A3:V25"/>
  <sheetViews>
    <sheetView workbookViewId="0">
      <selection activeCell="M6" sqref="L6:M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6.88671875" bestFit="1" customWidth="1"/>
    <col min="4" max="4" width="6.77734375" bestFit="1" customWidth="1"/>
    <col min="5" max="5" width="13.6640625" bestFit="1" customWidth="1"/>
    <col min="6" max="7" width="6" bestFit="1" customWidth="1"/>
    <col min="8" max="8" width="11.33203125" bestFit="1" customWidth="1"/>
    <col min="9" max="9" width="9" bestFit="1" customWidth="1"/>
    <col min="10" max="10" width="6.33203125" bestFit="1" customWidth="1"/>
    <col min="11" max="11" width="6" bestFit="1" customWidth="1"/>
    <col min="12" max="12" width="7.5546875" bestFit="1" customWidth="1"/>
    <col min="13" max="13" width="5.5546875" bestFit="1" customWidth="1"/>
    <col min="14" max="14" width="6.21875" bestFit="1" customWidth="1"/>
    <col min="15" max="15" width="7" bestFit="1" customWidth="1"/>
    <col min="16" max="16" width="5" bestFit="1" customWidth="1"/>
    <col min="17" max="18" width="6" bestFit="1" customWidth="1"/>
    <col min="19" max="19" width="7" bestFit="1" customWidth="1"/>
    <col min="20" max="20" width="18.6640625" bestFit="1" customWidth="1"/>
    <col min="21" max="21" width="7.33203125" bestFit="1" customWidth="1"/>
    <col min="22" max="22" width="10.77734375" bestFit="1" customWidth="1"/>
  </cols>
  <sheetData>
    <row r="3" spans="1:22" x14ac:dyDescent="0.3">
      <c r="A3" s="15" t="s">
        <v>71</v>
      </c>
      <c r="B3" s="15" t="s">
        <v>70</v>
      </c>
    </row>
    <row r="4" spans="1:22" x14ac:dyDescent="0.3">
      <c r="A4" s="15" t="s">
        <v>68</v>
      </c>
      <c r="B4" t="s">
        <v>48</v>
      </c>
      <c r="C4" t="s">
        <v>61</v>
      </c>
      <c r="D4" t="s">
        <v>40</v>
      </c>
      <c r="E4" t="s">
        <v>52</v>
      </c>
      <c r="F4" t="s">
        <v>24</v>
      </c>
      <c r="G4" t="s">
        <v>20</v>
      </c>
      <c r="H4" t="s">
        <v>63</v>
      </c>
      <c r="I4" t="s">
        <v>33</v>
      </c>
      <c r="J4" t="s">
        <v>17</v>
      </c>
      <c r="K4" t="s">
        <v>29</v>
      </c>
      <c r="L4" t="s">
        <v>44</v>
      </c>
      <c r="M4" t="s">
        <v>8</v>
      </c>
      <c r="N4" t="s">
        <v>36</v>
      </c>
      <c r="O4" t="s">
        <v>15</v>
      </c>
      <c r="P4" t="s">
        <v>58</v>
      </c>
      <c r="Q4" t="s">
        <v>66</v>
      </c>
      <c r="R4" t="s">
        <v>28</v>
      </c>
      <c r="S4" t="s">
        <v>22</v>
      </c>
      <c r="T4" t="s">
        <v>12</v>
      </c>
      <c r="U4" t="s">
        <v>55</v>
      </c>
      <c r="V4" t="s">
        <v>69</v>
      </c>
    </row>
    <row r="5" spans="1:22" x14ac:dyDescent="0.3">
      <c r="A5" s="17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>
        <v>69</v>
      </c>
      <c r="N5" s="16"/>
      <c r="O5" s="16"/>
      <c r="P5" s="16"/>
      <c r="Q5" s="16"/>
      <c r="R5" s="16"/>
      <c r="S5" s="16"/>
      <c r="T5" s="16"/>
      <c r="U5" s="16"/>
      <c r="V5" s="16">
        <v>69</v>
      </c>
    </row>
    <row r="6" spans="1:22" x14ac:dyDescent="0.3">
      <c r="A6" s="17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>
        <v>16.145</v>
      </c>
      <c r="U6" s="16"/>
      <c r="V6" s="16">
        <v>16.145</v>
      </c>
    </row>
    <row r="7" spans="1:22" x14ac:dyDescent="0.3">
      <c r="A7" s="17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>
        <v>15.084</v>
      </c>
      <c r="P7" s="16"/>
      <c r="Q7" s="16"/>
      <c r="R7" s="16"/>
      <c r="S7" s="16"/>
      <c r="T7" s="16"/>
      <c r="U7" s="16"/>
      <c r="V7" s="16">
        <v>15.084</v>
      </c>
    </row>
    <row r="8" spans="1:22" x14ac:dyDescent="0.3">
      <c r="A8" s="17">
        <v>4</v>
      </c>
      <c r="B8" s="16"/>
      <c r="C8" s="16"/>
      <c r="D8" s="16"/>
      <c r="E8" s="16"/>
      <c r="F8" s="16"/>
      <c r="G8" s="16"/>
      <c r="H8" s="16"/>
      <c r="I8" s="16"/>
      <c r="J8" s="16">
        <v>8.2620000000000005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>
        <v>8.2620000000000005</v>
      </c>
    </row>
    <row r="9" spans="1:22" x14ac:dyDescent="0.3">
      <c r="A9" s="17">
        <v>5</v>
      </c>
      <c r="B9" s="16"/>
      <c r="C9" s="16"/>
      <c r="D9" s="16"/>
      <c r="E9" s="16"/>
      <c r="F9" s="16"/>
      <c r="G9" s="16">
        <v>7.7130000000000001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>
        <v>7.7130000000000001</v>
      </c>
    </row>
    <row r="10" spans="1:22" x14ac:dyDescent="0.3">
      <c r="A10" s="17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>
        <v>7.6109999999999998</v>
      </c>
      <c r="T10" s="16"/>
      <c r="U10" s="16"/>
      <c r="V10" s="16">
        <v>7.6109999999999998</v>
      </c>
    </row>
    <row r="11" spans="1:22" x14ac:dyDescent="0.3">
      <c r="A11" s="17">
        <v>7</v>
      </c>
      <c r="B11" s="16"/>
      <c r="C11" s="16"/>
      <c r="D11" s="16"/>
      <c r="E11" s="16"/>
      <c r="F11" s="16">
        <v>6.8479999999999999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>
        <v>6.8479999999999999</v>
      </c>
    </row>
    <row r="12" spans="1:22" x14ac:dyDescent="0.3">
      <c r="A12" s="17">
        <v>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>
        <v>5.9420000000000002</v>
      </c>
      <c r="S12" s="16"/>
      <c r="T12" s="16"/>
      <c r="U12" s="16"/>
      <c r="V12" s="16">
        <v>5.9420000000000002</v>
      </c>
    </row>
    <row r="13" spans="1:22" x14ac:dyDescent="0.3">
      <c r="A13" s="17">
        <v>9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4.7240000000000002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>
        <v>4.7240000000000002</v>
      </c>
    </row>
    <row r="14" spans="1:22" x14ac:dyDescent="0.3">
      <c r="A14" s="17">
        <v>10</v>
      </c>
      <c r="B14" s="16"/>
      <c r="C14" s="16"/>
      <c r="D14" s="16"/>
      <c r="E14" s="16"/>
      <c r="F14" s="16"/>
      <c r="G14" s="16"/>
      <c r="H14" s="16"/>
      <c r="I14" s="16">
        <v>4.5549999999999997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>
        <v>4.5549999999999997</v>
      </c>
    </row>
    <row r="15" spans="1:22" x14ac:dyDescent="0.3">
      <c r="A15" s="17">
        <v>11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>
        <v>4.306</v>
      </c>
      <c r="O15" s="16"/>
      <c r="P15" s="16"/>
      <c r="Q15" s="16"/>
      <c r="R15" s="16"/>
      <c r="S15" s="16"/>
      <c r="T15" s="16"/>
      <c r="U15" s="16"/>
      <c r="V15" s="16">
        <v>4.306</v>
      </c>
    </row>
    <row r="16" spans="1:22" x14ac:dyDescent="0.3">
      <c r="A16" s="17">
        <v>12</v>
      </c>
      <c r="B16" s="16"/>
      <c r="C16" s="16"/>
      <c r="D16" s="16">
        <v>4.0069999999999997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>
        <v>4.0069999999999997</v>
      </c>
    </row>
    <row r="17" spans="1:22" x14ac:dyDescent="0.3">
      <c r="A17" s="17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>
        <v>3.5609999999999999</v>
      </c>
      <c r="M17" s="16"/>
      <c r="N17" s="16"/>
      <c r="O17" s="16"/>
      <c r="P17" s="16"/>
      <c r="Q17" s="16"/>
      <c r="R17" s="16"/>
      <c r="S17" s="16"/>
      <c r="T17" s="16"/>
      <c r="U17" s="16"/>
      <c r="V17" s="16">
        <v>3.5609999999999999</v>
      </c>
    </row>
    <row r="18" spans="1:22" x14ac:dyDescent="0.3">
      <c r="A18" s="17">
        <v>14</v>
      </c>
      <c r="B18" s="16">
        <v>3.4289999999999998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>
        <v>3.4289999999999998</v>
      </c>
    </row>
    <row r="19" spans="1:22" x14ac:dyDescent="0.3">
      <c r="A19" s="17">
        <v>15</v>
      </c>
      <c r="B19" s="16"/>
      <c r="C19" s="16"/>
      <c r="D19" s="16"/>
      <c r="E19" s="16">
        <v>3.3370000000000002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>
        <v>3.3370000000000002</v>
      </c>
    </row>
    <row r="20" spans="1:22" x14ac:dyDescent="0.3">
      <c r="A20" s="17">
        <v>16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3.2949999999999999</v>
      </c>
      <c r="V20" s="16">
        <v>3.2949999999999999</v>
      </c>
    </row>
    <row r="21" spans="1:22" x14ac:dyDescent="0.3">
      <c r="A21" s="17">
        <v>17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>
        <v>3.26</v>
      </c>
      <c r="Q21" s="16"/>
      <c r="R21" s="16"/>
      <c r="S21" s="16"/>
      <c r="T21" s="16"/>
      <c r="U21" s="16"/>
      <c r="V21" s="16">
        <v>3.26</v>
      </c>
    </row>
    <row r="22" spans="1:22" x14ac:dyDescent="0.3">
      <c r="A22" s="17">
        <v>18</v>
      </c>
      <c r="B22" s="16"/>
      <c r="C22" s="16">
        <v>3.1909999999999998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>
        <v>3.1909999999999998</v>
      </c>
    </row>
    <row r="23" spans="1:22" x14ac:dyDescent="0.3">
      <c r="A23" s="17">
        <v>19</v>
      </c>
      <c r="B23" s="16"/>
      <c r="C23" s="16"/>
      <c r="D23" s="16"/>
      <c r="E23" s="16"/>
      <c r="F23" s="16"/>
      <c r="G23" s="16"/>
      <c r="H23" s="16">
        <v>3.0510000000000002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>
        <v>3.0510000000000002</v>
      </c>
    </row>
    <row r="24" spans="1:22" x14ac:dyDescent="0.3">
      <c r="A24" s="17">
        <v>20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3.0110000000000001</v>
      </c>
      <c r="R24" s="16"/>
      <c r="S24" s="16"/>
      <c r="T24" s="16"/>
      <c r="U24" s="16"/>
      <c r="V24" s="16">
        <v>3.0110000000000001</v>
      </c>
    </row>
    <row r="25" spans="1:22" x14ac:dyDescent="0.3">
      <c r="A25" s="17" t="s">
        <v>69</v>
      </c>
      <c r="B25" s="16">
        <v>3.4289999999999998</v>
      </c>
      <c r="C25" s="16">
        <v>3.1909999999999998</v>
      </c>
      <c r="D25" s="16">
        <v>4.0069999999999997</v>
      </c>
      <c r="E25" s="16">
        <v>3.3370000000000002</v>
      </c>
      <c r="F25" s="16">
        <v>6.8479999999999999</v>
      </c>
      <c r="G25" s="16">
        <v>7.7130000000000001</v>
      </c>
      <c r="H25" s="16">
        <v>3.0510000000000002</v>
      </c>
      <c r="I25" s="16">
        <v>4.5549999999999997</v>
      </c>
      <c r="J25" s="16">
        <v>8.2620000000000005</v>
      </c>
      <c r="K25" s="16">
        <v>4.7240000000000002</v>
      </c>
      <c r="L25" s="16">
        <v>3.5609999999999999</v>
      </c>
      <c r="M25" s="16">
        <v>69</v>
      </c>
      <c r="N25" s="16">
        <v>4.306</v>
      </c>
      <c r="O25" s="16">
        <v>15.084</v>
      </c>
      <c r="P25" s="16">
        <v>3.26</v>
      </c>
      <c r="Q25" s="16">
        <v>3.0110000000000001</v>
      </c>
      <c r="R25" s="16">
        <v>5.9420000000000002</v>
      </c>
      <c r="S25" s="16">
        <v>7.6109999999999998</v>
      </c>
      <c r="T25" s="16">
        <v>16.145</v>
      </c>
      <c r="U25" s="16">
        <v>3.2949999999999999</v>
      </c>
      <c r="V25" s="16">
        <v>180.33199999999999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63" zoomScaleNormal="63" workbookViewId="0">
      <selection activeCell="I24" sqref="I24"/>
    </sheetView>
  </sheetViews>
  <sheetFormatPr defaultRowHeight="14.4" x14ac:dyDescent="0.3"/>
  <cols>
    <col min="1" max="1" width="10.88671875" bestFit="1" customWidth="1"/>
    <col min="2" max="2" width="18.33203125" bestFit="1" customWidth="1"/>
    <col min="3" max="3" width="19.21875" bestFit="1" customWidth="1"/>
    <col min="4" max="4" width="28" bestFit="1" customWidth="1"/>
    <col min="5" max="5" width="25.109375" bestFit="1" customWidth="1"/>
    <col min="6" max="6" width="16.109375" bestFit="1" customWidth="1"/>
    <col min="7" max="7" width="22.77734375" bestFit="1" customWidth="1"/>
    <col min="8" max="8" width="33.88671875" bestFit="1" customWidth="1"/>
  </cols>
  <sheetData>
    <row r="1" spans="1:8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3">
      <c r="A2" s="2">
        <v>1</v>
      </c>
      <c r="B2" s="3" t="s">
        <v>8</v>
      </c>
      <c r="C2" s="3" t="s">
        <v>9</v>
      </c>
      <c r="D2" s="12">
        <v>69</v>
      </c>
      <c r="E2" s="12">
        <v>324</v>
      </c>
      <c r="F2" s="9">
        <v>67.808999999999997</v>
      </c>
      <c r="G2" s="3" t="s">
        <v>10</v>
      </c>
      <c r="H2" s="3" t="s">
        <v>11</v>
      </c>
    </row>
    <row r="3" spans="1:8" x14ac:dyDescent="0.3">
      <c r="A3" s="4">
        <v>2</v>
      </c>
      <c r="B3" s="1" t="s">
        <v>12</v>
      </c>
      <c r="C3" s="1" t="s">
        <v>13</v>
      </c>
      <c r="D3" s="10">
        <v>16.145</v>
      </c>
      <c r="E3" s="13">
        <v>112</v>
      </c>
      <c r="F3" s="10">
        <v>6.8470000000000004</v>
      </c>
      <c r="G3" s="1" t="s">
        <v>14</v>
      </c>
      <c r="H3" s="1" t="s">
        <v>11</v>
      </c>
    </row>
    <row r="4" spans="1:8" x14ac:dyDescent="0.3">
      <c r="A4" s="5">
        <v>3</v>
      </c>
      <c r="B4" s="6" t="s">
        <v>15</v>
      </c>
      <c r="C4" s="6" t="s">
        <v>13</v>
      </c>
      <c r="D4" s="11">
        <v>15.084</v>
      </c>
      <c r="E4" s="14">
        <v>-722</v>
      </c>
      <c r="F4" s="11">
        <v>41.975000000000001</v>
      </c>
      <c r="G4" s="6" t="s">
        <v>16</v>
      </c>
      <c r="H4" s="6" t="s">
        <v>11</v>
      </c>
    </row>
    <row r="5" spans="1:8" x14ac:dyDescent="0.3">
      <c r="A5" s="4">
        <v>4</v>
      </c>
      <c r="B5" s="1" t="s">
        <v>17</v>
      </c>
      <c r="C5" s="1" t="s">
        <v>18</v>
      </c>
      <c r="D5" s="10">
        <v>8.2620000000000005</v>
      </c>
      <c r="E5" s="13">
        <v>671</v>
      </c>
      <c r="F5" s="10">
        <v>35.027999999999999</v>
      </c>
      <c r="G5" s="1" t="s">
        <v>19</v>
      </c>
      <c r="H5" s="1" t="s">
        <v>11</v>
      </c>
    </row>
    <row r="6" spans="1:8" x14ac:dyDescent="0.3">
      <c r="A6" s="5">
        <v>5</v>
      </c>
      <c r="B6" s="6" t="s">
        <v>20</v>
      </c>
      <c r="C6" s="6" t="s">
        <v>21</v>
      </c>
      <c r="D6" s="11">
        <v>7.7130000000000001</v>
      </c>
      <c r="E6" s="14">
        <v>224</v>
      </c>
      <c r="F6" s="11">
        <v>18.036999999999999</v>
      </c>
      <c r="G6" s="6" t="s">
        <v>16</v>
      </c>
      <c r="H6" s="6" t="s">
        <v>11</v>
      </c>
    </row>
    <row r="7" spans="1:8" x14ac:dyDescent="0.3">
      <c r="A7" s="4">
        <v>6</v>
      </c>
      <c r="B7" s="1" t="s">
        <v>22</v>
      </c>
      <c r="C7" s="1" t="s">
        <v>23</v>
      </c>
      <c r="D7" s="10">
        <v>7.6109999999999998</v>
      </c>
      <c r="E7" s="13">
        <v>138</v>
      </c>
      <c r="F7" s="10">
        <v>18.742000000000001</v>
      </c>
      <c r="G7" s="1" t="s">
        <v>16</v>
      </c>
      <c r="H7" s="1" t="s">
        <v>11</v>
      </c>
    </row>
    <row r="8" spans="1:8" x14ac:dyDescent="0.3">
      <c r="A8" s="5">
        <v>7</v>
      </c>
      <c r="B8" s="6" t="s">
        <v>24</v>
      </c>
      <c r="C8" s="6" t="s">
        <v>25</v>
      </c>
      <c r="D8" s="11">
        <v>6.8479999999999999</v>
      </c>
      <c r="E8" s="14">
        <v>352</v>
      </c>
      <c r="F8" s="11">
        <v>49.887</v>
      </c>
      <c r="G8" s="6" t="s">
        <v>26</v>
      </c>
      <c r="H8" s="6" t="s">
        <v>27</v>
      </c>
    </row>
    <row r="9" spans="1:8" x14ac:dyDescent="0.3">
      <c r="A9" s="4">
        <v>8</v>
      </c>
      <c r="B9" s="1" t="s">
        <v>28</v>
      </c>
      <c r="C9" s="1" t="s">
        <v>13</v>
      </c>
      <c r="D9" s="10">
        <v>5.9420000000000002</v>
      </c>
      <c r="E9" s="13">
        <v>667</v>
      </c>
      <c r="F9" s="10">
        <v>2.968</v>
      </c>
      <c r="G9" s="1" t="s">
        <v>16</v>
      </c>
      <c r="H9" s="1" t="s">
        <v>11</v>
      </c>
    </row>
    <row r="10" spans="1:8" x14ac:dyDescent="0.3">
      <c r="A10" s="5">
        <v>9</v>
      </c>
      <c r="B10" s="6" t="s">
        <v>29</v>
      </c>
      <c r="C10" s="6" t="s">
        <v>30</v>
      </c>
      <c r="D10" s="11">
        <v>4.7240000000000002</v>
      </c>
      <c r="E10" s="14">
        <v>409</v>
      </c>
      <c r="F10" s="11">
        <v>22.821000000000002</v>
      </c>
      <c r="G10" s="6" t="s">
        <v>31</v>
      </c>
      <c r="H10" s="6" t="s">
        <v>32</v>
      </c>
    </row>
    <row r="11" spans="1:8" x14ac:dyDescent="0.3">
      <c r="A11" s="4">
        <v>10</v>
      </c>
      <c r="B11" s="1" t="s">
        <v>33</v>
      </c>
      <c r="C11" s="1" t="s">
        <v>13</v>
      </c>
      <c r="D11" s="10">
        <v>4.5549999999999997</v>
      </c>
      <c r="E11" s="13">
        <v>169</v>
      </c>
      <c r="F11" s="10">
        <v>5.2610000000000001</v>
      </c>
      <c r="G11" s="1" t="s">
        <v>34</v>
      </c>
      <c r="H11" s="1" t="s">
        <v>35</v>
      </c>
    </row>
    <row r="12" spans="1:8" x14ac:dyDescent="0.3">
      <c r="A12" s="5">
        <v>11</v>
      </c>
      <c r="B12" s="6" t="s">
        <v>36</v>
      </c>
      <c r="C12" s="6" t="s">
        <v>37</v>
      </c>
      <c r="D12" s="11">
        <v>4.306</v>
      </c>
      <c r="E12" s="14">
        <v>-6</v>
      </c>
      <c r="F12" s="11">
        <v>12.148999999999999</v>
      </c>
      <c r="G12" s="6" t="s">
        <v>38</v>
      </c>
      <c r="H12" s="6" t="s">
        <v>39</v>
      </c>
    </row>
    <row r="13" spans="1:8" x14ac:dyDescent="0.3">
      <c r="A13" s="4">
        <v>12</v>
      </c>
      <c r="B13" s="1" t="s">
        <v>40</v>
      </c>
      <c r="C13" s="1" t="s">
        <v>41</v>
      </c>
      <c r="D13" s="10">
        <v>4.0069999999999997</v>
      </c>
      <c r="E13" s="13">
        <v>312</v>
      </c>
      <c r="F13" s="10">
        <v>33.752000000000002</v>
      </c>
      <c r="G13" s="1" t="s">
        <v>42</v>
      </c>
      <c r="H13" s="1" t="s">
        <v>43</v>
      </c>
    </row>
    <row r="14" spans="1:8" x14ac:dyDescent="0.3">
      <c r="A14" s="5">
        <v>13</v>
      </c>
      <c r="B14" s="6" t="s">
        <v>44</v>
      </c>
      <c r="C14" s="6" t="s">
        <v>45</v>
      </c>
      <c r="D14" s="11">
        <v>3.5609999999999999</v>
      </c>
      <c r="E14" s="14">
        <v>180</v>
      </c>
      <c r="F14" s="11">
        <v>10.039</v>
      </c>
      <c r="G14" s="6" t="s">
        <v>46</v>
      </c>
      <c r="H14" s="6" t="s">
        <v>47</v>
      </c>
    </row>
    <row r="15" spans="1:8" x14ac:dyDescent="0.3">
      <c r="A15" s="4">
        <v>14</v>
      </c>
      <c r="B15" s="1" t="s">
        <v>48</v>
      </c>
      <c r="C15" s="1" t="s">
        <v>49</v>
      </c>
      <c r="D15" s="10">
        <v>3.4289999999999998</v>
      </c>
      <c r="E15" s="13">
        <v>41</v>
      </c>
      <c r="F15" s="10">
        <v>1270</v>
      </c>
      <c r="G15" s="1" t="s">
        <v>50</v>
      </c>
      <c r="H15" s="1" t="s">
        <v>51</v>
      </c>
    </row>
    <row r="16" spans="1:8" x14ac:dyDescent="0.3">
      <c r="A16" s="5">
        <v>15</v>
      </c>
      <c r="B16" s="6" t="s">
        <v>52</v>
      </c>
      <c r="C16" s="6" t="s">
        <v>13</v>
      </c>
      <c r="D16" s="11">
        <v>3.3370000000000002</v>
      </c>
      <c r="E16" s="14">
        <v>182</v>
      </c>
      <c r="F16" s="11">
        <v>8.2189999999999994</v>
      </c>
      <c r="G16" s="6" t="s">
        <v>53</v>
      </c>
      <c r="H16" s="6" t="s">
        <v>54</v>
      </c>
    </row>
    <row r="17" spans="1:8" x14ac:dyDescent="0.3">
      <c r="A17" s="4">
        <v>16</v>
      </c>
      <c r="B17" s="1" t="s">
        <v>55</v>
      </c>
      <c r="C17" s="1" t="s">
        <v>56</v>
      </c>
      <c r="D17" s="10">
        <v>3.2949999999999999</v>
      </c>
      <c r="E17" s="13">
        <v>33</v>
      </c>
      <c r="F17" s="10">
        <v>929</v>
      </c>
      <c r="G17" s="1" t="s">
        <v>10</v>
      </c>
      <c r="H17" s="1" t="s">
        <v>57</v>
      </c>
    </row>
    <row r="18" spans="1:8" x14ac:dyDescent="0.3">
      <c r="A18" s="5">
        <v>17</v>
      </c>
      <c r="B18" s="6" t="s">
        <v>58</v>
      </c>
      <c r="C18" s="6" t="s">
        <v>59</v>
      </c>
      <c r="D18" s="11">
        <v>3.26</v>
      </c>
      <c r="E18" s="14">
        <v>393</v>
      </c>
      <c r="F18" s="11">
        <v>20.265999999999998</v>
      </c>
      <c r="G18" s="6" t="s">
        <v>60</v>
      </c>
      <c r="H18" s="6" t="s">
        <v>11</v>
      </c>
    </row>
    <row r="19" spans="1:8" x14ac:dyDescent="0.3">
      <c r="A19" s="4">
        <v>18</v>
      </c>
      <c r="B19" s="1" t="s">
        <v>61</v>
      </c>
      <c r="C19" s="1" t="s">
        <v>13</v>
      </c>
      <c r="D19" s="10">
        <v>3.1909999999999998</v>
      </c>
      <c r="E19" s="13">
        <v>2</v>
      </c>
      <c r="F19" s="10">
        <v>576</v>
      </c>
      <c r="G19" s="1" t="s">
        <v>10</v>
      </c>
      <c r="H19" s="1" t="s">
        <v>62</v>
      </c>
    </row>
    <row r="20" spans="1:8" x14ac:dyDescent="0.3">
      <c r="A20" s="5">
        <v>19</v>
      </c>
      <c r="B20" s="6" t="s">
        <v>63</v>
      </c>
      <c r="C20" s="6" t="s">
        <v>64</v>
      </c>
      <c r="D20" s="11">
        <v>3.0510000000000002</v>
      </c>
      <c r="E20" s="14">
        <v>-252</v>
      </c>
      <c r="F20" s="11">
        <v>15.163</v>
      </c>
      <c r="G20" s="6" t="s">
        <v>65</v>
      </c>
      <c r="H20" s="6" t="s">
        <v>11</v>
      </c>
    </row>
    <row r="21" spans="1:8" x14ac:dyDescent="0.3">
      <c r="A21" s="4">
        <v>20</v>
      </c>
      <c r="B21" s="1" t="s">
        <v>66</v>
      </c>
      <c r="C21" s="1" t="s">
        <v>13</v>
      </c>
      <c r="D21" s="10">
        <v>3.0110000000000001</v>
      </c>
      <c r="E21" s="13">
        <v>-60</v>
      </c>
      <c r="F21" s="10">
        <v>40.947000000000003</v>
      </c>
      <c r="G21" s="1" t="s">
        <v>67</v>
      </c>
      <c r="H21" s="1" t="s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Top 20 Poland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 Den</cp:lastModifiedBy>
  <dcterms:created xsi:type="dcterms:W3CDTF">2026-02-03T11:21:58Z</dcterms:created>
  <dcterms:modified xsi:type="dcterms:W3CDTF">2026-02-03T11:45:48Z</dcterms:modified>
</cp:coreProperties>
</file>